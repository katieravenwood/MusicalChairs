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5e528d9d284c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f49506cf131d4c1b"/>
    <x:sheet xmlns:r="http://schemas.openxmlformats.org/officeDocument/2006/relationships" name="Shows" sheetId="2" r:id="Rfd3e92aaecbc476d"/>
    <x:sheet xmlns:r="http://schemas.openxmlformats.org/officeDocument/2006/relationships" name="Players" sheetId="3" r:id="R48348fcd37ed4eb9"/>
    <x:sheet xmlns:r="http://schemas.openxmlformats.org/officeDocument/2006/relationships" name="Chairs" sheetId="4" r:id="R4b558e9f4d674082"/>
    <x:sheet xmlns:r="http://schemas.openxmlformats.org/officeDocument/2006/relationships" name="Performances" sheetId="5" r:id="Rc63839cabc074bfd"/>
    <x:sheet xmlns:r="http://schemas.openxmlformats.org/officeDocument/2006/relationships" name="Run Rules" sheetId="6" r:id="Rb3464dc173a046a4"/>
    <x:sheet xmlns:r="http://schemas.openxmlformats.org/officeDocument/2006/relationships" name="Access" sheetId="7" r:id="R486782839a69429a"/>
    <x:sheet xmlns:r="http://schemas.openxmlformats.org/officeDocument/2006/relationships" name="Settings" sheetId="8" r:id="Ra69e925fe9df423f"/>
    <x:sheet xmlns:r="http://schemas.openxmlformats.org/officeDocument/2006/relationships" name="Change Log" sheetId="9" r:id="Rc3e0067204f14d00"/>
    <x:sheet xmlns:r="http://schemas.openxmlformats.org/officeDocument/2006/relationships" name="DEMO Keys 2" sheetId="10" r:id="R68bca686935c4af3"/>
    <x:sheet xmlns:r="http://schemas.openxmlformats.org/officeDocument/2006/relationships" name="DEMO Drums" sheetId="11" r:id="R1025897fa6114e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hh:mm"/>
    <x:numFmt numFmtId="202" formatCode="@"/>
  </x:numFmts>
  <x:fonts count="5">
    <x:font>
      <x:sz val="11"/>
      <x:name val="Carlito"/>
    </x:font>
    <x:font>
      <x:sz val="11"/>
      <x:color rgb="FF24324B"/>
      <x:name val="Arial"/>
    </x:font>
    <x:font>
      <x:b/>
      <x:sz val="11"/>
      <x:color rgb="FFFFFFFF"/>
      <x:name val="Arial"/>
    </x:font>
    <x:font>
      <x:b/>
      <x:sz val="15"/>
      <x:color rgb="FF24324B"/>
      <x:name val="Arial"/>
    </x:font>
    <x:font>
      <x:b/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283750"/>
      </x:patternFill>
    </x:fill>
    <x:fill>
      <x:patternFill patternType="solid">
        <x:fgColor rgb="FFFFFFFF"/>
      </x:patternFill>
    </x:fill>
    <x:fill>
      <x:patternFill patternType="solid">
        <x:fgColor rgb="FFFFF4D6"/>
      </x:patternFill>
    </x:fill>
    <x:fill>
      <x:patternFill patternType="solid">
        <x:fgColor rgb="FF283750"/>
      </x:patternFill>
    </x:fill>
    <x:fill>
      <x:patternFill patternType="solid">
        <x:fgColor rgb="FFFFF4D6"/>
      </x:patternFill>
    </x:fill>
    <x:fill>
      <x:patternFill patternType="solid">
        <x:fgColor rgb="FF283750"/>
      </x:patternFill>
    </x:fill>
    <x:fill>
      <x:patternFill patternType="solid">
        <x:fgColor rgb="FF24324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2" fillId="7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b74b6fd1b14e8a" /><Relationship Type="http://schemas.openxmlformats.org/officeDocument/2006/relationships/theme" Target="/xl/theme/theme1.xml" Id="R663ebf9bc1ed4a53" /><Relationship Type="http://schemas.microsoft.com/office/2022/11/relationships/FeaturePropertyBag" Target="/xl/featurePropertyBag/featurePropertyBag.xml" Id="R351306b556074595" /><Relationship Type="http://schemas.openxmlformats.org/officeDocument/2006/relationships/sharedStrings" Target="/xl/sharedStrings.xml" Id="R0916231b05464cfe" /><Relationship Type="http://schemas.openxmlformats.org/officeDocument/2006/relationships/worksheet" Target="/xl/worksheets/sheet1.xml" Id="Rf49506cf131d4c1b" /><Relationship Type="http://schemas.openxmlformats.org/officeDocument/2006/relationships/worksheet" Target="/xl/worksheets/sheet2.xml" Id="Rfd3e92aaecbc476d" /><Relationship Type="http://schemas.openxmlformats.org/officeDocument/2006/relationships/worksheet" Target="/xl/worksheets/sheet3.xml" Id="R48348fcd37ed4eb9" /><Relationship Type="http://schemas.openxmlformats.org/officeDocument/2006/relationships/worksheet" Target="/xl/worksheets/sheet4.xml" Id="R4b558e9f4d674082" /><Relationship Type="http://schemas.openxmlformats.org/officeDocument/2006/relationships/worksheet" Target="/xl/worksheets/sheet5.xml" Id="Rc63839cabc074bfd" /><Relationship Type="http://schemas.openxmlformats.org/officeDocument/2006/relationships/worksheet" Target="/xl/worksheets/sheet6.xml" Id="Rb3464dc173a046a4" /><Relationship Type="http://schemas.openxmlformats.org/officeDocument/2006/relationships/worksheet" Target="/xl/worksheets/sheet7.xml" Id="R486782839a69429a" /><Relationship Type="http://schemas.openxmlformats.org/officeDocument/2006/relationships/worksheet" Target="/xl/worksheets/sheet8.xml" Id="Ra69e925fe9df423f" /><Relationship Type="http://schemas.openxmlformats.org/officeDocument/2006/relationships/worksheet" Target="/xl/worksheets/sheet9.xml" Id="Rc3e0067204f14d00" /><Relationship Type="http://schemas.openxmlformats.org/officeDocument/2006/relationships/worksheet" Target="/xl/worksheets/sheet10.xml" Id="R68bca686935c4af3" /><Relationship Type="http://schemas.openxmlformats.org/officeDocument/2006/relationships/worksheet" Target="/xl/worksheets/sheet11.xml" Id="R1025897fa6114e4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08" hidden="0" customWidth="1"/>
  </x:cols>
  <x:sheetData>
    <x:row r="1" ht="40" customHeight="1">
      <x:c r="A1" s="7" t="str">
        <x:v>PIT ORCHESTRA CALENDAR</x:v>
      </x:c>
      <x:c r="B1" s="7" t="str">
        <x:v>Musician-owned scheduling</x:v>
      </x:c>
    </x:row>
    <x:row r="2" ht="39" customHeight="1">
      <x:c r="A2" s="2" t="str">
        <x:v>Status</x:v>
      </x:c>
      <x:c r="B2" s="8" t="str">
        <x:v>Template only. Demo show is unpublished.</x:v>
      </x:c>
    </x:row>
    <x:row r="3" ht="39" customHeight="1">
      <x:c r="A3" s="2" t="str">
        <x:v>1. Install</x:v>
      </x:c>
      <x:c r="B3" s="8" t="str">
        <x:v>Follow INSTALL.md in the accompanying package.</x:v>
      </x:c>
    </x:row>
    <x:row r="4" ht="39" customHeight="1">
      <x:c r="A4" s="2" t="str">
        <x:v>2. Configure</x:v>
      </x:c>
      <x:c r="B4" s="8" t="str">
        <x:v>Add musician administrators in Access; enter player GoogleEmail once in Players; define each chair’s EligiblePlayerIDs. Share the workbook separately and Apply chair permissions.</x:v>
      </x:c>
    </x:row>
    <x:row r="5" ht="39" customHeight="1">
      <x:c r="A5" s="2" t="str">
        <x:v>3. Chair editing</x:v>
      </x:c>
      <x:c r="B5" s="8" t="str">
        <x:v>Musicians edit PlayerID, AssignmentStatus, PublicNote and UnavailablePlayerIDs on their chair tabs.</x:v>
      </x:c>
    </x:row>
    <x:row r="6" ht="39" customHeight="1">
      <x:c r="A6" s="2" t="str">
        <x:v>4. Bulk dates</x:v>
      </x:c>
      <x:c r="B6" s="8" t="str">
        <x:v>Enter Run Rules, then Pit Calendar &gt; Preview run generation.</x:v>
      </x:c>
    </x:row>
    <x:row r="7" ht="39" customHeight="1">
      <x:c r="A7" s="2" t="str">
        <x:v>5. Publish</x:v>
      </x:c>
      <x:c r="B7" s="8" t="str">
        <x:v>Set Shows.Published to TRUE only after reviewing the dates and assignments.</x:v>
      </x:c>
    </x:row>
    <x:row r="8" ht="39" customHeight="1">
      <x:c r="A8" s="2" t="str">
        <x:v>Public information</x:v>
      </x:c>
      <x:c r="B8" s="8" t="str">
        <x:v>Show, dates, times, chair, first name, status and public notes only.</x:v>
      </x:c>
    </x:row>
    <x:row r="9" ht="39" customHeight="1">
      <x:c r="A9" s="2" t="str">
        <x:v>Subscriptions</x:v>
      </x:c>
      <x:c r="B9" s="8" t="str">
        <x:v>Use the public calendar's player selector to obtain a personal feed.</x:v>
      </x:c>
    </x:row>
    <x:row r="10" ht="39" customHeight="1">
      <x:c r="A10" s="2" t="str">
        <x:v>Ownership</x:v>
      </x:c>
      <x:c r="B10" s="8" t="str">
        <x:v>Keep at least two musician administrators and an agreed owner succession plan.</x:v>
      </x:c>
    </x:row>
    <x:row r="11" ht="39" customHeight="1">
      <x:c r="A11" s="2" t="str">
        <x:v>Recovery</x:v>
      </x:c>
      <x:c r="B11" s="8" t="str">
        <x:v>Recover affected cells from edit history; do not restore the whole workbook over newer edits.</x:v>
      </x:c>
    </x:row>
    <x:row r="12" ht="39" customHeight="1">
      <x:c r="A12" s="2" t="str">
        <x:v>Demo</x:v>
      </x:c>
      <x:c r="B12" s="8" t="str">
        <x:v>All sample dates and people are fictional. Delete the demo before production use.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32" hidden="0" customWidth="1"/>
    <x:col min="3" max="3" width="23" hidden="0" customWidth="1"/>
    <x:col min="4" max="4" width="23" hidden="0" customWidth="1"/>
  </x:cols>
  <x:sheetData>
    <x:row r="1" ht="42" customHeight="1">
      <x:c r="A1" s="5" t="str">
        <x:v>ShowID</x:v>
      </x:c>
      <x:c r="B1" s="5" t="str">
        <x:v>Title</x:v>
      </x:c>
      <x:c r="C1" s="5" t="str">
        <x:v>Venue</x:v>
      </x:c>
      <x:c r="D1" s="5" t="str">
        <x:v>Published</x:v>
      </x:c>
    </x:row>
    <x:row r="2" ht="27" customHeight="1">
      <x:c r="A2" s="2" t="str">
        <x:v>demo</x:v>
      </x:c>
      <x:c r="B2" s="2" t="str">
        <x:v>DEMO - Training Show</x:v>
      </x:c>
      <x:c r="C2" s="2" t="str">
        <x:v>[Theatre Name]</x:v>
      </x:c>
      <x:c r="D2" s="2" t="str">
        <x:v>FALSE</x:v>
      </x:c>
    </x:row>
  </x:sheetData>
  <x:dataValidations count="1">
    <x:dataValidation type="list" sqref="D2:D50">
      <x:formula1>"TRUE,FALSE"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23" hidden="0" customWidth="1"/>
    <x:col min="3" max="3" width="36" hidden="0" customWidth="1"/>
  </x:cols>
  <x:sheetData>
    <x:row r="1" ht="42" customHeight="1">
      <x:c r="A1" s="5" t="str">
        <x:v>PlayerID</x:v>
      </x:c>
      <x:c r="B1" s="5" t="str">
        <x:v>DisplayName</x:v>
      </x:c>
      <x:c r="C1" s="13" t="str">
        <x:v>GoogleEmail</x:v>
      </x:c>
    </x:row>
    <x:row r="2" ht="27" customHeight="1">
      <x:c r="A2" s="2" t="str">
        <x:v>alex</x:v>
      </x:c>
      <x:c r="B2" s="2" t="str">
        <x:v>Alex</x:v>
      </x:c>
      <x:c r="C2" t="str"/>
    </x:row>
    <x:row r="3" ht="27" customHeight="1">
      <x:c r="A3" s="2" t="str">
        <x:v>sam</x:v>
      </x:c>
      <x:c r="B3" s="2" t="str">
        <x:v>Sam</x:v>
      </x:c>
      <x:c r="C3" t="str"/>
    </x:row>
    <x:row r="4" ht="27" customHeight="1">
      <x:c r="A4" s="2" t="str">
        <x:v>jo</x:v>
      </x:c>
      <x:c r="B4" s="2" t="str">
        <x:v>Jo</x:v>
      </x:c>
      <x:c r="C4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29" hidden="0" customWidth="1"/>
    <x:col min="3" max="3" width="23" hidden="0" customWidth="1"/>
    <x:col min="4" max="4" width="32" hidden="0" customWidth="1"/>
    <x:col min="5" max="5" width="23" hidden="0" customWidth="1"/>
    <x:col min="6" max="6" width="32" hidden="0" customWidth="1"/>
    <x:col min="7" max="7" width="32" hidden="0" customWidth="1"/>
    <x:col min="8" max="8" width="32" hidden="0" customWidth="1"/>
    <x:col min="9" max="9" width="26" hidden="0" customWidth="1"/>
  </x:cols>
  <x:sheetData>
    <x:row r="1" ht="42" customHeight="1">
      <x:c r="A1" s="15" t="str">
        <x:v>ShowID</x:v>
      </x:c>
      <x:c r="B1" s="15" t="str">
        <x:v>ChairID</x:v>
      </x:c>
      <x:c r="C1" s="15" t="str">
        <x:v>Label</x:v>
      </x:c>
      <x:c r="D1" s="15" t="str">
        <x:v>Instrumentation</x:v>
      </x:c>
      <x:c r="E1" s="15" t="str">
        <x:v>TabName</x:v>
      </x:c>
      <x:c r="F1" s="15" t="str">
        <x:v>EligiblePlayerIDs</x:v>
      </x:c>
      <x:c r="G1" s="15" t="str">
        <x:v>EditorEmails</x:v>
      </x:c>
      <x:c r="H1" s="15" t="str">
        <x:v>RegularPlayerIDs</x:v>
      </x:c>
      <x:c r="I1"/>
    </x:row>
    <x:row r="2" ht="27" customHeight="1">
      <x:c r="A2" s="2" t="str">
        <x:v>demo</x:v>
      </x:c>
      <x:c r="B2" s="2" t="str">
        <x:v>keys2</x:v>
      </x:c>
      <x:c r="C2" s="2" t="str">
        <x:v>Keys 2</x:v>
      </x:c>
      <x:c r="D2" s="2" t="str">
        <x:v>Keyboard</x:v>
      </x:c>
      <x:c r="E2" s="2" t="str">
        <x:v>DEMO Keys 2</x:v>
      </x:c>
      <x:c r="F2" s="2" t="str">
        <x:v>alex,sam</x:v>
      </x:c>
      <x:c r="G2" s="2" t="str"/>
      <x:c r="H2" s="2" t="str">
        <x:v>alex,sam</x:v>
      </x:c>
      <x:c r="I2"/>
    </x:row>
    <x:row r="3" ht="27" customHeight="1">
      <x:c r="A3" s="2" t="str">
        <x:v>demo</x:v>
      </x:c>
      <x:c r="B3" s="2" t="str">
        <x:v>drums</x:v>
      </x:c>
      <x:c r="C3" s="2" t="str">
        <x:v>Drums</x:v>
      </x:c>
      <x:c r="D3" s="2" t="str">
        <x:v>Drum kit</x:v>
      </x:c>
      <x:c r="E3" s="2" t="str">
        <x:v>DEMO Drums</x:v>
      </x:c>
      <x:c r="F3" s="2" t="str">
        <x:v>jo,sam</x:v>
      </x:c>
      <x:c r="G3" s="2" t="str"/>
      <x:c r="H3" s="2" t="str">
        <x:v>jo,sam</x:v>
      </x:c>
      <x:c r="I3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29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32" hidden="0" customWidth="1"/>
    <x:col min="11" max="11" width="23" hidden="0" customWidth="1"/>
    <x:col min="12" max="12" width="29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</x:cols>
  <x:sheetData>
    <x:row r="1" ht="42" customHeight="1">
      <x:c r="A1" s="5" t="str">
        <x:v>PerformanceID</x:v>
      </x:c>
      <x:c r="B1" s="5" t="str">
        <x:v>ShowID</x:v>
      </x:c>
      <x:c r="C1" s="5" t="str">
        <x:v>Date</x:v>
      </x:c>
      <x:c r="D1" s="5" t="str">
        <x:v>Curtain</x:v>
      </x:c>
      <x:c r="E1" s="5" t="str">
        <x:v>Call</x:v>
      </x:c>
      <x:c r="F1" s="5" t="str">
        <x:v>EndDate</x:v>
      </x:c>
      <x:c r="G1" s="5" t="str">
        <x:v>End</x:v>
      </x:c>
      <x:c r="H1" s="5" t="str">
        <x:v>Status</x:v>
      </x:c>
      <x:c r="I1" s="5" t="str">
        <x:v>EventType</x:v>
      </x:c>
      <x:c r="J1" s="5" t="str">
        <x:v>PublicNote</x:v>
      </x:c>
      <x:c r="K1" s="5" t="str">
        <x:v>Revision</x:v>
      </x:c>
      <x:c r="L1" s="5" t="str">
        <x:v>UpdatedAt</x:v>
      </x:c>
      <x:c r="M1" s="19" t="str">
        <x:v>AllDay</x:v>
      </x:c>
      <x:c r="N1" s="19" t="str">
        <x:v>TimeTBD</x:v>
      </x:c>
      <x:c r="O1" s="19" t="str">
        <x:v>StaffingRequired</x:v>
      </x:c>
      <x:c r="P1" s="19" t="str">
        <x:v>EventTitle</x:v>
      </x:c>
    </x:row>
    <x:row r="2" ht="27" customHeight="1">
      <x:c r="A2" s="2" t="str">
        <x:v>demo-20261106-1930</x:v>
      </x:c>
      <x:c r="B2" s="2" t="str">
        <x:v>demo</x:v>
      </x:c>
      <x:c r="C2" s="9" t="n">
        <x:v>46332</x:v>
      </x:c>
      <x:c r="D2" s="10" t="n">
        <x:v>0.8125</x:v>
      </x:c>
      <x:c r="E2" s="10" t="n">
        <x:v>0.7916666666666666</x:v>
      </x:c>
      <x:c r="F2" s="9" t="n">
        <x:v>46332</x:v>
      </x:c>
      <x:c r="G2" s="10" t="n">
        <x:v>0.9166666666666666</x:v>
      </x:c>
      <x:c r="H2" s="2" t="str">
        <x:v>Scheduled</x:v>
      </x:c>
      <x:c r="I2" s="2" t="str">
        <x:v>Performance</x:v>
      </x:c>
      <x:c r="J2" s="2" t="str">
        <x:v>Fictional demo</x:v>
      </x:c>
      <x:c r="K2" s="2" t="n">
        <x:v>1</x:v>
      </x:c>
      <x:c r="L2" s="16"/>
      <x:c r="M2" s="20" t="b">
        <x:v>0</x:v>
      </x:c>
      <x:c r="N2" s="20" t="b">
        <x:v>0</x:v>
      </x:c>
      <x:c r="O2" s="20" t="b">
        <x:v>1</x:v>
      </x:c>
      <x:c r="P2" t="str"/>
    </x:row>
    <x:row r="3" ht="27" customHeight="1">
      <x:c r="A3" s="2" t="str">
        <x:v>demo-20261107-1400</x:v>
      </x:c>
      <x:c r="B3" s="2" t="str">
        <x:v>demo</x:v>
      </x:c>
      <x:c r="C3" s="9" t="n">
        <x:v>46333</x:v>
      </x:c>
      <x:c r="D3" s="10" t="n">
        <x:v>0.5833333333333334</x:v>
      </x:c>
      <x:c r="E3" s="10" t="n">
        <x:v>0.5625</x:v>
      </x:c>
      <x:c r="F3" s="9" t="n">
        <x:v>46333</x:v>
      </x:c>
      <x:c r="G3" s="10" t="n">
        <x:v>0.6875</x:v>
      </x:c>
      <x:c r="H3" s="2" t="str">
        <x:v>Scheduled</x:v>
      </x:c>
      <x:c r="I3" s="2" t="str">
        <x:v>Performance</x:v>
      </x:c>
      <x:c r="J3" s="2" t="str">
        <x:v>Fictional demo</x:v>
      </x:c>
      <x:c r="K3" s="2" t="n">
        <x:v>1</x:v>
      </x:c>
      <x:c r="L3" s="16"/>
      <x:c r="M3" s="20" t="b">
        <x:v>0</x:v>
      </x:c>
      <x:c r="N3" s="20" t="b">
        <x:v>0</x:v>
      </x:c>
      <x:c r="O3" s="20" t="b">
        <x:v>1</x:v>
      </x:c>
      <x:c r="P3" t="str"/>
    </x:row>
    <x:row r="4" ht="27" customHeight="1">
      <x:c r="A4" s="2" t="str">
        <x:v>demo-20261107-1930</x:v>
      </x:c>
      <x:c r="B4" s="2" t="str">
        <x:v>demo</x:v>
      </x:c>
      <x:c r="C4" s="9" t="n">
        <x:v>46333</x:v>
      </x:c>
      <x:c r="D4" s="10" t="n">
        <x:v>0.8125</x:v>
      </x:c>
      <x:c r="E4" s="10" t="n">
        <x:v>0.7916666666666666</x:v>
      </x:c>
      <x:c r="F4" s="9" t="n">
        <x:v>46333</x:v>
      </x:c>
      <x:c r="G4" s="10" t="n">
        <x:v>0.9166666666666666</x:v>
      </x:c>
      <x:c r="H4" s="2" t="str">
        <x:v>Scheduled</x:v>
      </x:c>
      <x:c r="I4" s="2" t="str">
        <x:v>Performance</x:v>
      </x:c>
      <x:c r="J4" s="2" t="str">
        <x:v>Fictional demo</x:v>
      </x:c>
      <x:c r="K4" s="2" t="n">
        <x:v>1</x:v>
      </x:c>
      <x:c r="L4" s="16"/>
      <x:c r="M4" s="20" t="b">
        <x:v>0</x:v>
      </x:c>
      <x:c r="N4" s="20" t="b">
        <x:v>0</x:v>
      </x:c>
      <x:c r="O4" s="20" t="b">
        <x:v>1</x:v>
      </x:c>
      <x:c r="P4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32" hidden="0" customWidth="1"/>
  </x:cols>
  <x:sheetData>
    <x:row r="1" ht="42" customHeight="1">
      <x:c r="A1" s="5" t="str">
        <x:v>ShowID</x:v>
      </x:c>
      <x:c r="B1" s="5" t="str">
        <x:v>StartDate</x:v>
      </x:c>
      <x:c r="C1" s="5" t="str">
        <x:v>EndDate</x:v>
      </x:c>
      <x:c r="D1" s="5" t="str">
        <x:v>Weekdays</x:v>
      </x:c>
      <x:c r="E1" s="5" t="str">
        <x:v>Curtain</x:v>
      </x:c>
      <x:c r="F1" s="5" t="str">
        <x:v>DurationMin</x:v>
      </x:c>
      <x:c r="G1" s="5" t="str">
        <x:v>CallOffsetMin</x:v>
      </x:c>
      <x:c r="H1" s="5" t="str">
        <x:v>EventType</x:v>
      </x:c>
      <x:c r="I1" s="5" t="str">
        <x:v>ExcludeDates</x:v>
      </x:c>
      <x:c r="J1" s="5" t="str">
        <x:v>PublicNote</x:v>
      </x:c>
    </x:row>
    <x:row r="2" ht="27" customHeight="1">
      <x:c r="A2" s="2" t="str">
        <x:v>demo</x:v>
      </x:c>
      <x:c r="B2" s="9" t="n">
        <x:v>46332</x:v>
      </x:c>
      <x:c r="C2" s="9" t="n">
        <x:v>46334</x:v>
      </x:c>
      <x:c r="D2" s="2" t="str">
        <x:v>Fri,Sat</x:v>
      </x:c>
      <x:c r="E2" s="10" t="n">
        <x:v>0.8125</x:v>
      </x:c>
      <x:c r="F2" s="2" t="n">
        <x:v>150</x:v>
      </x:c>
      <x:c r="G2" s="2" t="n">
        <x:v>30</x:v>
      </x:c>
      <x:c r="H2" s="2" t="str">
        <x:v>Performance</x:v>
      </x:c>
      <x:c r="I2" s="2" t="str"/>
      <x:c r="J2" s="2" t="str">
        <x:v>Fictional demo</x:v>
      </x:c>
    </x:row>
    <x:row r="3" ht="27" customHeight="1">
      <x:c r="A3" s="2" t="str">
        <x:v>demo</x:v>
      </x:c>
      <x:c r="B3" s="9" t="n">
        <x:v>46332</x:v>
      </x:c>
      <x:c r="C3" s="9" t="n">
        <x:v>46334</x:v>
      </x:c>
      <x:c r="D3" s="2" t="str">
        <x:v>Sat,Sun</x:v>
      </x:c>
      <x:c r="E3" s="10" t="n">
        <x:v>0.5833333333333334</x:v>
      </x:c>
      <x:c r="F3" s="2" t="n">
        <x:v>150</x:v>
      </x:c>
      <x:c r="G3" s="2" t="n">
        <x:v>30</x:v>
      </x:c>
      <x:c r="H3" s="2" t="str">
        <x:v>Performance</x:v>
      </x:c>
      <x:c r="I3" s="2" t="str"/>
      <x:c r="J3" s="2" t="str">
        <x:v>Fictional demo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</x:cols>
  <x:sheetData>
    <x:row r="1" ht="42" customHeight="1">
      <x:c r="A1" s="5" t="str">
        <x:v>AdminEmail</x:v>
      </x:c>
    </x:row>
    <x:row r="2" ht="27" customHeight="1">
      <x:c r="A2" s="2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52" hidden="0" customWidth="1"/>
  </x:cols>
  <x:sheetData>
    <x:row r="1" ht="42" customHeight="1">
      <x:c r="A1" s="5" t="str">
        <x:v>Key</x:v>
      </x:c>
      <x:c r="B1" s="5" t="str">
        <x:v>Value</x:v>
      </x:c>
    </x:row>
    <x:row r="2" ht="27" customHeight="1">
      <x:c r="A2" s="2" t="str">
        <x:v>CalendarTitle</x:v>
      </x:c>
      <x:c r="B2" s="2" t="str">
        <x:v>[Theatre Name] — Pit Calendar</x:v>
      </x:c>
    </x:row>
    <x:row r="3" ht="27" customHeight="1">
      <x:c r="A3" s="2" t="str">
        <x:v>TimeZone</x:v>
      </x:c>
      <x:c r="B3" s="2" t="str">
        <x:v>America/New_York</x:v>
      </x:c>
    </x:row>
    <x:row r="4" ht="27" customHeight="1">
      <x:c r="A4" s="2" t="str">
        <x:v>PublicAppURL</x:v>
      </x:c>
      <x:c r="B4" s="2" t="str"/>
    </x:row>
    <x:row r="5" ht="27" customHeight="1">
      <x:c r="A5" s="2" t="str">
        <x:v>LastSuccessfulCheck</x:v>
      </x:c>
      <x:c r="B5" s="2" t="str">
        <x:v>Not installed</x:v>
      </x:c>
    </x:row>
    <x:row r="6" ht="27" customHeight="1">
      <x:c r="A6" s="2" t="str">
        <x:v>ScheduleRevision</x:v>
      </x:c>
      <x:c r="B6" s="2" t="n">
        <x:v>1</x:v>
      </x:c>
    </x:row>
    <x:row r="7" ht="27" customHeight="1">
      <x:c r="A7" s="2" t="str">
        <x:v>LastEditAt</x:v>
      </x:c>
      <x:c r="B7" s="16"/>
    </x:row>
    <x:row r="8">
      <x:c r="A8" t="str">
        <x:v>InstructionsURL</x:v>
      </x:c>
      <x:c r="B8" t="str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</x:cols>
  <x:sheetData>
    <x:row r="1" ht="42" customHeight="1">
      <x:c r="A1" s="5" t="str">
        <x:v>Timestamp</x:v>
      </x:c>
      <x:c r="B1" s="5" t="str">
        <x:v>Actor</x:v>
      </x:c>
      <x:c r="C1" s="5" t="str">
        <x:v>Sheet</x:v>
      </x:c>
      <x:c r="D1" s="5" t="str">
        <x:v>Range</x:v>
      </x:c>
      <x:c r="E1" s="5" t="str">
        <x:v>Before</x:v>
      </x:c>
      <x:c r="F1" s="5" t="str">
        <x:v>After</x:v>
      </x:c>
      <x:c r="G1" s="5" t="str">
        <x:v>Note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4" hidden="0" customWidth="1"/>
    <x:col min="2" max="2" width="23" hidden="0" customWidth="1"/>
    <x:col min="3" max="3" width="23" hidden="0" customWidth="1"/>
    <x:col min="4" max="4" width="23" hidden="0" customWidth="1"/>
    <x:col min="5" max="5" width="29" hidden="0" customWidth="1"/>
    <x:col min="6" max="6" width="23" hidden="0" customWidth="1"/>
    <x:col min="7" max="7" width="32" hidden="0" customWidth="1"/>
    <x:col min="8" max="8" width="23" hidden="0" customWidth="1"/>
    <x:col min="9" max="9" width="29" hidden="0" customWidth="1"/>
    <x:col min="10" max="10" width="32" hidden="0" customWidth="1"/>
    <x:col min="11" max="11" width="32" hidden="0" customWidth="1"/>
  </x:cols>
  <x:sheetData>
    <x:row r="1" ht="42" customHeight="1">
      <x:c r="A1" s="5" t="str">
        <x:v>PerformanceID</x:v>
      </x:c>
      <x:c r="B1" s="5" t="str">
        <x:v>Date</x:v>
      </x:c>
      <x:c r="C1" s="5" t="str">
        <x:v>Call</x:v>
      </x:c>
      <x:c r="D1" s="5" t="str">
        <x:v>Curtain</x:v>
      </x:c>
      <x:c r="E1" s="5" t="str">
        <x:v>PlayerID</x:v>
      </x:c>
      <x:c r="F1" s="5" t="str">
        <x:v>AssignmentStatus</x:v>
      </x:c>
      <x:c r="G1" s="5" t="str">
        <x:v>PublicNote</x:v>
      </x:c>
      <x:c r="H1" s="5" t="str">
        <x:v>Revision</x:v>
      </x:c>
      <x:c r="I1" s="5" t="str">
        <x:v>UpdatedAt</x:v>
      </x:c>
      <x:c r="J1" s="13" t="str">
        <x:v>UnavailablePlayerIDs</x:v>
      </x:c>
      <x:c r="K1" s="13" t="str">
        <x:v>Coverage</x:v>
      </x:c>
    </x:row>
    <x:row r="2" ht="27" customHeight="1">
      <x:c r="A2" s="2" t="str">
        <x:v>demo-20261106-1930</x:v>
      </x:c>
      <x:c r="B2" s="9" t="n">
        <x:f>VLOOKUP(A2,Performances!$A$2:$L$4,3,FALSE)</x:f>
        <x:v>46332</x:v>
      </x:c>
      <x:c r="C2" s="10" t="n">
        <x:f>VLOOKUP(A2,Performances!$A$2:$L$4,5,FALSE)</x:f>
        <x:v>0.7916666666666666</x:v>
      </x:c>
      <x:c r="D2" s="10" t="n">
        <x:f>VLOOKUP(A2,Performances!$A$2:$L$4,4,FALSE)</x:f>
        <x:v>0.8125</x:v>
      </x:c>
      <x:c r="E2" s="11" t="str">
        <x:v>alex</x:v>
      </x:c>
      <x:c r="F2" s="11" t="str">
        <x:v>Confirmed</x:v>
      </x:c>
      <x:c r="G2" s="11" t="str"/>
      <x:c r="H2" s="2" t="n">
        <x:v>1</x:v>
      </x:c>
      <x:c r="I2" s="16"/>
      <x:c r="J2" s="14" t="str">
        <x:v>sam</x:v>
      </x:c>
      <x:c r="K2" t="str">
        <x:v>Covered</x:v>
      </x:c>
    </x:row>
    <x:row r="3" ht="27" customHeight="1">
      <x:c r="A3" s="2" t="str">
        <x:v>demo-20261107-1400</x:v>
      </x:c>
      <x:c r="B3" s="9" t="n">
        <x:f>VLOOKUP(A3,Performances!$A$2:$L$4,3,FALSE)</x:f>
        <x:v>46333</x:v>
      </x:c>
      <x:c r="C3" s="10" t="n">
        <x:f>VLOOKUP(A3,Performances!$A$2:$L$4,5,FALSE)</x:f>
        <x:v>0.5625</x:v>
      </x:c>
      <x:c r="D3" s="10" t="n">
        <x:f>VLOOKUP(A3,Performances!$A$2:$L$4,4,FALSE)</x:f>
        <x:v>0.5833333333333334</x:v>
      </x:c>
      <x:c r="E3" s="11" t="str">
        <x:v>sam</x:v>
      </x:c>
      <x:c r="F3" s="11" t="str">
        <x:v>Confirmed</x:v>
      </x:c>
      <x:c r="G3" s="11" t="str"/>
      <x:c r="H3" s="2" t="n">
        <x:v>1</x:v>
      </x:c>
      <x:c r="I3" s="16"/>
      <x:c r="J3" s="14" t="str"/>
      <x:c r="K3" t="str">
        <x:v>Covered</x:v>
      </x:c>
    </x:row>
    <x:row r="4" ht="27" customHeight="1">
      <x:c r="A4" s="2" t="str">
        <x:v>demo-20261107-1930</x:v>
      </x:c>
      <x:c r="B4" s="9" t="n">
        <x:f>VLOOKUP(A4,Performances!$A$2:$L$4,3,FALSE)</x:f>
        <x:v>46333</x:v>
      </x:c>
      <x:c r="C4" s="10" t="n">
        <x:f>VLOOKUP(A4,Performances!$A$2:$L$4,5,FALSE)</x:f>
        <x:v>0.7916666666666666</x:v>
      </x:c>
      <x:c r="D4" s="10" t="n">
        <x:f>VLOOKUP(A4,Performances!$A$2:$L$4,4,FALSE)</x:f>
        <x:v>0.8125</x:v>
      </x:c>
      <x:c r="E4" s="11" t="str">
        <x:v>alex</x:v>
      </x:c>
      <x:c r="F4" s="11" t="str">
        <x:v>Confirmed</x:v>
      </x:c>
      <x:c r="G4" s="11" t="str"/>
      <x:c r="H4" s="2" t="n">
        <x:v>1</x:v>
      </x:c>
      <x:c r="I4" s="16"/>
      <x:c r="J4" s="14" t="str"/>
      <x:c r="K4" t="str">
        <x:v>Covered</x:v>
      </x:c>
    </x:row>
  </x:sheetData>
  <x:dataValidations count="2">
    <x:dataValidation type="list" sqref="E2:E50">
      <x:formula1>'Players'!$A$2:$A$4</x:formula1>
    </x:dataValidation>
    <x:dataValidation type="list" sqref="F2:F50">
      <x:formula1>"Confirmed,Tentative,Needs sub,Open"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4" hidden="0" customWidth="1"/>
    <x:col min="2" max="2" width="23" hidden="0" customWidth="1"/>
    <x:col min="3" max="3" width="23" hidden="0" customWidth="1"/>
    <x:col min="4" max="4" width="23" hidden="0" customWidth="1"/>
    <x:col min="5" max="5" width="29" hidden="0" customWidth="1"/>
    <x:col min="6" max="6" width="23" hidden="0" customWidth="1"/>
    <x:col min="7" max="7" width="32" hidden="0" customWidth="1"/>
    <x:col min="8" max="8" width="23" hidden="0" customWidth="1"/>
    <x:col min="9" max="9" width="29" hidden="0" customWidth="1"/>
    <x:col min="10" max="10" width="32" hidden="0" customWidth="1"/>
    <x:col min="11" max="11" width="32" hidden="0" customWidth="1"/>
  </x:cols>
  <x:sheetData>
    <x:row r="1" ht="42" customHeight="1">
      <x:c r="A1" s="5" t="str">
        <x:v>PerformanceID</x:v>
      </x:c>
      <x:c r="B1" s="5" t="str">
        <x:v>Date</x:v>
      </x:c>
      <x:c r="C1" s="5" t="str">
        <x:v>Call</x:v>
      </x:c>
      <x:c r="D1" s="5" t="str">
        <x:v>Curtain</x:v>
      </x:c>
      <x:c r="E1" s="5" t="str">
        <x:v>PlayerID</x:v>
      </x:c>
      <x:c r="F1" s="5" t="str">
        <x:v>AssignmentStatus</x:v>
      </x:c>
      <x:c r="G1" s="5" t="str">
        <x:v>PublicNote</x:v>
      </x:c>
      <x:c r="H1" s="5" t="str">
        <x:v>Revision</x:v>
      </x:c>
      <x:c r="I1" s="5" t="str">
        <x:v>UpdatedAt</x:v>
      </x:c>
      <x:c r="J1" s="13" t="str">
        <x:v>UnavailablePlayerIDs</x:v>
      </x:c>
      <x:c r="K1" s="13" t="str">
        <x:v>Coverage</x:v>
      </x:c>
    </x:row>
    <x:row r="2" ht="27" customHeight="1">
      <x:c r="A2" s="2" t="str">
        <x:v>demo-20261106-1930</x:v>
      </x:c>
      <x:c r="B2" s="9" t="n">
        <x:f>VLOOKUP(A2,Performances!$A$2:$L$4,3,FALSE)</x:f>
        <x:v>46332</x:v>
      </x:c>
      <x:c r="C2" s="10" t="n">
        <x:f>VLOOKUP(A2,Performances!$A$2:$L$4,5,FALSE)</x:f>
        <x:v>0.7916666666666666</x:v>
      </x:c>
      <x:c r="D2" s="10" t="n">
        <x:f>VLOOKUP(A2,Performances!$A$2:$L$4,4,FALSE)</x:f>
        <x:v>0.8125</x:v>
      </x:c>
      <x:c r="E2" s="11" t="str">
        <x:v>jo</x:v>
      </x:c>
      <x:c r="F2" s="11" t="str">
        <x:v>Confirmed</x:v>
      </x:c>
      <x:c r="G2" s="11" t="str"/>
      <x:c r="H2" s="2" t="n">
        <x:v>1</x:v>
      </x:c>
      <x:c r="I2" s="16"/>
      <x:c r="J2" s="14" t="str"/>
      <x:c r="K2" t="str">
        <x:v>Covered</x:v>
      </x:c>
    </x:row>
    <x:row r="3" ht="27" customHeight="1">
      <x:c r="A3" s="2" t="str">
        <x:v>demo-20261107-1400</x:v>
      </x:c>
      <x:c r="B3" s="9" t="n">
        <x:f>VLOOKUP(A3,Performances!$A$2:$L$4,3,FALSE)</x:f>
        <x:v>46333</x:v>
      </x:c>
      <x:c r="C3" s="10" t="n">
        <x:f>VLOOKUP(A3,Performances!$A$2:$L$4,5,FALSE)</x:f>
        <x:v>0.5625</x:v>
      </x:c>
      <x:c r="D3" s="10" t="n">
        <x:f>VLOOKUP(A3,Performances!$A$2:$L$4,4,FALSE)</x:f>
        <x:v>0.5833333333333334</x:v>
      </x:c>
      <x:c r="E3" s="11" t="str">
        <x:v>jo</x:v>
      </x:c>
      <x:c r="F3" s="11" t="str">
        <x:v>Needs sub</x:v>
      </x:c>
      <x:c r="G3" s="11" t="str"/>
      <x:c r="H3" s="2" t="n">
        <x:v>1</x:v>
      </x:c>
      <x:c r="I3" s="16"/>
      <x:c r="J3" s="14" t="str">
        <x:v>jo,sam</x:v>
      </x:c>
      <x:c r="K3" t="str">
        <x:v>Outside substitute needed</x:v>
      </x:c>
    </x:row>
    <x:row r="4" ht="27" customHeight="1">
      <x:c r="A4" s="2" t="str">
        <x:v>demo-20261107-1930</x:v>
      </x:c>
      <x:c r="B4" s="9" t="n">
        <x:f>VLOOKUP(A4,Performances!$A$2:$L$4,3,FALSE)</x:f>
        <x:v>46333</x:v>
      </x:c>
      <x:c r="C4" s="10" t="n">
        <x:f>VLOOKUP(A4,Performances!$A$2:$L$4,5,FALSE)</x:f>
        <x:v>0.7916666666666666</x:v>
      </x:c>
      <x:c r="D4" s="10" t="n">
        <x:f>VLOOKUP(A4,Performances!$A$2:$L$4,4,FALSE)</x:f>
        <x:v>0.8125</x:v>
      </x:c>
      <x:c r="E4" s="11" t="str">
        <x:v>jo</x:v>
      </x:c>
      <x:c r="F4" s="11" t="str">
        <x:v>Confirmed</x:v>
      </x:c>
      <x:c r="G4" s="11" t="str"/>
      <x:c r="H4" s="2" t="n">
        <x:v>1</x:v>
      </x:c>
      <x:c r="I4" s="16"/>
      <x:c r="J4" s="14" t="str"/>
      <x:c r="K4" t="str">
        <x:v>Covered</x:v>
      </x:c>
    </x:row>
  </x:sheetData>
  <x:dataValidations count="2">
    <x:dataValidation type="list" sqref="E2:E50">
      <x:formula1>'Players'!$A$2:$A$4</x:formula1>
    </x:dataValidation>
    <x:dataValidation type="list" sqref="F2:F50">
      <x:formula1>"Confirmed,Tentative,Needs sub,Open"</x:formula1>
    </x:dataValidation>
  </x:dataValidations>
  <x:pageMargins left="0.7" right="0.7" top="0.75" bottom="0.75" header="0.3" footer="0.3"/>
</x:worksheet>
</file>